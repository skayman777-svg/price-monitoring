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Прайс (снимок 2)" sheetId="3" state="visible" r:id="rId3"/>
  </sheets>
  <definedNames>
    <definedName name="_xlnm._FilterDatabase" localSheetId="1" hidden="1">'Изменения'!$A$1:$I$26</definedName>
    <definedName name="_xlnm._FilterDatabase" localSheetId="2" hidden="1">'Прайс (снимок 2)'!$A$1:$I$38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₽&quot;"/>
    <numFmt numFmtId="165" formatCode="+0.0%;-0.0%;0.0%"/>
    <numFmt numFmtId="166" formatCode="+#,##0 &quot;₽&quot;;-#,##0 &quot;₽&quot;"/>
  </numFmts>
  <fonts count="17">
    <font>
      <name val="Calibri"/>
      <family val="2"/>
      <color theme="1"/>
      <sz val="11"/>
      <scheme val="minor"/>
    </font>
    <font>
      <name val="Calibri"/>
      <b val="1"/>
      <color rgb="001F2A33"/>
      <sz val="16"/>
    </font>
    <font>
      <name val="Calibri"/>
      <i val="1"/>
      <color rgb="009A5B0B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7623A"/>
      <sz val="11"/>
    </font>
    <font>
      <name val="Calibri"/>
      <b val="1"/>
      <color rgb="001F2A33"/>
      <sz val="11"/>
    </font>
    <font>
      <name val="Calibri"/>
      <b val="1"/>
      <color rgb="009E2A1D"/>
      <sz val="11"/>
    </font>
    <font>
      <name val="Calibri"/>
      <b val="1"/>
      <color rgb="001F4E8C"/>
      <sz val="11"/>
    </font>
    <font>
      <name val="Calibri"/>
      <b val="1"/>
      <color rgb="00555555"/>
      <sz val="11"/>
    </font>
    <font>
      <name val="Calibri"/>
      <b val="1"/>
      <color rgb="0014675F"/>
      <sz val="11"/>
    </font>
    <font>
      <name val="Calibri"/>
      <b val="1"/>
      <color rgb="009A5B0B"/>
      <sz val="11"/>
    </font>
    <font>
      <name val="Calibri"/>
      <b val="1"/>
      <color rgb="001F2A33"/>
      <sz val="12"/>
    </font>
    <font>
      <name val="Calibri"/>
      <color rgb="006B7783"/>
      <sz val="11"/>
    </font>
    <font>
      <name val="Calibri"/>
      <color rgb="0017623A"/>
      <sz val="11"/>
    </font>
    <font>
      <name val="Calibri"/>
      <i val="1"/>
      <color rgb="006B7783"/>
      <sz val="11"/>
    </font>
    <font>
      <name val="Calibri"/>
      <color rgb="009A5B0B"/>
      <sz val="11"/>
    </font>
  </fonts>
  <fills count="10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DDF1E4"/>
      </patternFill>
    </fill>
    <fill>
      <patternFill patternType="solid">
        <fgColor rgb="00FBE0DC"/>
      </patternFill>
    </fill>
    <fill>
      <patternFill patternType="solid">
        <fgColor rgb="00DFEBFA"/>
      </patternFill>
    </fill>
    <fill>
      <patternFill patternType="solid">
        <fgColor rgb="00E8E8E8"/>
      </patternFill>
    </fill>
    <fill>
      <patternFill patternType="solid">
        <fgColor rgb="00D8F0EE"/>
      </patternFill>
    </fill>
    <fill>
      <patternFill patternType="solid">
        <fgColor rgb="00FCEBD2"/>
      </patternFill>
    </fill>
    <fill>
      <patternFill patternType="solid">
        <fgColor rgb="00F5F7F9"/>
      </patternFill>
    </fill>
  </fills>
  <borders count="2">
    <border>
      <left/>
      <right/>
      <top/>
      <bottom/>
      <diagonal/>
    </border>
    <border>
      <bottom style="thin">
        <color rgb="00D5DB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3" borderId="1" pivotButton="0" quotePrefix="0" xfId="0"/>
    <xf numFmtId="0" fontId="6" fillId="0" borderId="1" applyAlignment="1" pivotButton="0" quotePrefix="0" xfId="0">
      <alignment horizontal="center"/>
    </xf>
    <xf numFmtId="0" fontId="7" fillId="4" borderId="1" pivotButton="0" quotePrefix="0" xfId="0"/>
    <xf numFmtId="0" fontId="8" fillId="5" borderId="1" pivotButton="0" quotePrefix="0" xfId="0"/>
    <xf numFmtId="0" fontId="9" fillId="6" borderId="1" pivotButton="0" quotePrefix="0" xfId="0"/>
    <xf numFmtId="0" fontId="10" fillId="7" borderId="1" pivotButton="0" quotePrefix="0" xfId="0"/>
    <xf numFmtId="0" fontId="11" fillId="8" borderId="1" pivotButton="0" quotePrefix="0" xfId="0"/>
    <xf numFmtId="0" fontId="12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0" fontId="0" fillId="0" borderId="1" pivotButton="0" quotePrefix="0" xfId="0"/>
    <xf numFmtId="165" fontId="7" fillId="0" borderId="1" pivotButton="0" quotePrefix="0" xfId="0"/>
    <xf numFmtId="166" fontId="5" fillId="0" borderId="1" pivotButton="0" quotePrefix="0" xfId="0"/>
    <xf numFmtId="0" fontId="13" fillId="0" borderId="1" pivotButton="0" quotePrefix="0" xfId="0"/>
    <xf numFmtId="166" fontId="7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4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0" fillId="9" borderId="1" pivotButton="0" quotePrefix="0" xfId="0"/>
    <xf numFmtId="0" fontId="14" fillId="9" borderId="1" applyAlignment="1" pivotButton="0" quotePrefix="0" xfId="0">
      <alignment horizontal="center" vertical="center"/>
    </xf>
    <xf numFmtId="0" fontId="15" fillId="9" borderId="1" pivotButton="0" quotePrefix="0" xfId="0"/>
    <xf numFmtId="0" fontId="13" fillId="9" borderId="1" pivotButton="0" quotePrefix="0" xfId="0"/>
    <xf numFmtId="164" fontId="13" fillId="0" borderId="1" pivotButton="0" quotePrefix="0" xfId="0"/>
    <xf numFmtId="9" fontId="5" fillId="0" borderId="1" applyAlignment="1" pivotButton="0" quotePrefix="0" xfId="0">
      <alignment horizontal="center" vertical="center"/>
    </xf>
    <xf numFmtId="164" fontId="13" fillId="9" borderId="1" pivotButton="0" quotePrefix="0" xfId="0"/>
    <xf numFmtId="9" fontId="5" fillId="9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/>
    </xf>
    <xf numFmtId="0" fontId="1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Изменение цены,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'Сводка'!E17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'Сводка'!$B$18:$B$31</f>
            </numRef>
          </cat>
          <val>
            <numRef>
              <f>'Сводка'!$E$18:$E$31</f>
            </numRef>
          </val>
        </ser>
        <ser>
          <idx val="1"/>
          <order val="1"/>
          <tx>
            <strRef>
              <f>'Сводка'!F17</f>
            </strRef>
          </tx>
          <spPr>
            <a:solidFill xmlns:a="http://schemas.openxmlformats.org/drawingml/2006/main">
              <a:srgbClr val="C8442F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'Сводка'!$B$18:$B$31</f>
            </numRef>
          </cat>
          <val>
            <numRef>
              <f>'Сводка'!$F$18:$F$31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61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4D"/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14" customWidth="1" min="3" max="3"/>
    <col width="14" customWidth="1" min="4" max="4"/>
    <col width="17" customWidth="1" min="5" max="5"/>
    <col width="12" customWidth="1" min="6" max="6"/>
    <col width="3" customWidth="1" min="7" max="7"/>
  </cols>
  <sheetData>
    <row r="1">
      <c r="A1" s="1" t="inlineStr">
        <is>
          <t>Мониторинг цен: сравнение двух снимков</t>
        </is>
      </c>
    </row>
    <row r="2" ht="32" customHeight="1">
      <c r="A2" s="2" t="inlineStr">
        <is>
          <t>Магазин: ТехноДом</t>
        </is>
      </c>
    </row>
    <row r="4" ht="26" customHeight="1">
      <c r="A4" s="3" t="inlineStr">
        <is>
          <t>Снимок</t>
        </is>
      </c>
      <c r="B4" s="3" t="inlineStr">
        <is>
          <t>Время начала</t>
        </is>
      </c>
      <c r="C4" s="3" t="inlineStr">
        <is>
          <t>Товаров</t>
        </is>
      </c>
      <c r="D4" s="3" t="inlineStr">
        <is>
          <t>Страниц</t>
        </is>
      </c>
      <c r="E4" s="3" t="inlineStr">
        <is>
          <t>Предупреждений</t>
        </is>
      </c>
    </row>
    <row r="5">
      <c r="A5" s="4" t="inlineStr">
        <is>
          <t>№1 (предыдущий)</t>
        </is>
      </c>
      <c r="B5" s="4" t="inlineStr">
        <is>
          <t>2026-10-24 08:47:02</t>
        </is>
      </c>
      <c r="C5" s="5" t="n">
        <v>36</v>
      </c>
      <c r="D5" s="5" t="n">
        <v>7</v>
      </c>
      <c r="E5" s="5" t="n">
        <v>1</v>
      </c>
    </row>
    <row r="6">
      <c r="A6" s="4" t="inlineStr">
        <is>
          <t>№2 (текущий)</t>
        </is>
      </c>
      <c r="B6" s="4" t="inlineStr">
        <is>
          <t>2026-10-24 08:47:02</t>
        </is>
      </c>
      <c r="C6" s="5" t="n">
        <v>37</v>
      </c>
      <c r="D6" s="5" t="n">
        <v>7</v>
      </c>
      <c r="E6" s="5" t="n">
        <v>1</v>
      </c>
    </row>
    <row r="8" ht="26" customHeight="1">
      <c r="A8" s="3" t="inlineStr">
        <is>
          <t>Что изменилось</t>
        </is>
      </c>
      <c r="B8" s="3" t="inlineStr">
        <is>
          <t>Количество</t>
        </is>
      </c>
    </row>
    <row r="9">
      <c r="A9" s="6" t="inlineStr">
        <is>
          <t>Цена снизилась</t>
        </is>
      </c>
      <c r="B9" s="7" t="n">
        <v>11</v>
      </c>
    </row>
    <row r="10">
      <c r="A10" s="8" t="inlineStr">
        <is>
          <t>Цена выросла</t>
        </is>
      </c>
      <c r="B10" s="7" t="n">
        <v>3</v>
      </c>
    </row>
    <row r="11">
      <c r="A11" s="9" t="inlineStr">
        <is>
          <t>Новый товар</t>
        </is>
      </c>
      <c r="B11" s="7" t="n">
        <v>3</v>
      </c>
    </row>
    <row r="12">
      <c r="A12" s="10" t="inlineStr">
        <is>
          <t>Товар пропал</t>
        </is>
      </c>
      <c r="B12" s="7" t="n">
        <v>2</v>
      </c>
    </row>
    <row r="13">
      <c r="A13" s="11" t="inlineStr">
        <is>
          <t>Снова в наличии</t>
        </is>
      </c>
      <c r="B13" s="7" t="n">
        <v>3</v>
      </c>
    </row>
    <row r="14">
      <c r="A14" s="12" t="inlineStr">
        <is>
          <t>Нет в наличии</t>
        </is>
      </c>
      <c r="B14" s="7" t="n">
        <v>3</v>
      </c>
    </row>
    <row r="16">
      <c r="A16" s="13" t="inlineStr">
        <is>
          <t>Изменения цен</t>
        </is>
      </c>
    </row>
    <row r="17" ht="26" customHeight="1">
      <c r="A17" s="3" t="inlineStr">
        <is>
          <t>Товар</t>
        </is>
      </c>
      <c r="B17" s="3" t="inlineStr">
        <is>
          <t>Артикул</t>
        </is>
      </c>
      <c r="C17" s="3" t="inlineStr">
        <is>
          <t>Было</t>
        </is>
      </c>
      <c r="D17" s="3" t="inlineStr">
        <is>
          <t>Стало</t>
        </is>
      </c>
      <c r="E17" s="3" t="inlineStr">
        <is>
          <t>Снижение</t>
        </is>
      </c>
      <c r="F17" s="3" t="inlineStr">
        <is>
          <t>Рост</t>
        </is>
      </c>
    </row>
    <row r="18">
      <c r="A18" s="14" t="inlineStr">
        <is>
          <t>Наушники Aster Sound ANC (накладные, Bluetooth)</t>
        </is>
      </c>
      <c r="B18" s="14" t="inlineStr">
        <is>
          <t>HP-3003</t>
        </is>
      </c>
      <c r="C18" s="15" t="n">
        <v>12990</v>
      </c>
      <c r="D18" s="15" t="n">
        <v>9990</v>
      </c>
      <c r="E18" s="16" t="n">
        <v>-0.2309468822170901</v>
      </c>
      <c r="F18" s="17" t="n"/>
    </row>
    <row r="19">
      <c r="A19" s="14" t="inlineStr">
        <is>
          <t>Смартфон Vektor A2 64 ГБ</t>
        </is>
      </c>
      <c r="B19" s="14" t="inlineStr">
        <is>
          <t>PH-2010</t>
        </is>
      </c>
      <c r="C19" s="15" t="n">
        <v>9990</v>
      </c>
      <c r="D19" s="15" t="n">
        <v>8490</v>
      </c>
      <c r="E19" s="16" t="n">
        <v>-0.1501501501501502</v>
      </c>
      <c r="F19" s="17" t="n"/>
    </row>
    <row r="20">
      <c r="A20" s="14" t="inlineStr">
        <is>
          <t>Ноутбук Aster Air 13 (Ryzen 5 / 8 ГБ / 256 ГБ)</t>
        </is>
      </c>
      <c r="B20" s="14" t="inlineStr">
        <is>
          <t>NB-1003</t>
        </is>
      </c>
      <c r="C20" s="15" t="n">
        <v>49990</v>
      </c>
      <c r="D20" s="15" t="n">
        <v>44990</v>
      </c>
      <c r="E20" s="16" t="n">
        <v>-0.1000200040008002</v>
      </c>
      <c r="F20" s="17" t="n"/>
    </row>
    <row r="21">
      <c r="A21" s="14" t="inlineStr">
        <is>
          <t>Смартфон Lumen X Max 512 ГБ</t>
        </is>
      </c>
      <c r="B21" s="14" t="inlineStr">
        <is>
          <t>PH-2008</t>
        </is>
      </c>
      <c r="C21" s="15" t="n">
        <v>71990</v>
      </c>
      <c r="D21" s="15" t="n">
        <v>64990</v>
      </c>
      <c r="E21" s="16" t="n">
        <v>-0.09723572718433114</v>
      </c>
      <c r="F21" s="17" t="n"/>
    </row>
    <row r="22">
      <c r="A22" s="14" t="inlineStr">
        <is>
          <t>Смартфон Zefir S5 256 ГБ</t>
        </is>
      </c>
      <c r="B22" s="14" t="inlineStr">
        <is>
          <t>PH-2002</t>
        </is>
      </c>
      <c r="C22" s="15" t="n">
        <v>21990</v>
      </c>
      <c r="D22" s="15" t="n">
        <v>19990</v>
      </c>
      <c r="E22" s="16" t="n">
        <v>-0.09095043201455207</v>
      </c>
      <c r="F22" s="17" t="n"/>
    </row>
    <row r="23">
      <c r="A23" s="14" t="inlineStr">
        <is>
          <t>Наушники Orbita Kids (с ограничением громкости)</t>
        </is>
      </c>
      <c r="B23" s="14" t="inlineStr">
        <is>
          <t>HP-3009</t>
        </is>
      </c>
      <c r="C23" s="15" t="n">
        <v>2490</v>
      </c>
      <c r="D23" s="15" t="n">
        <v>2290</v>
      </c>
      <c r="E23" s="16" t="n">
        <v>-0.08032128514056225</v>
      </c>
      <c r="F23" s="17" t="n"/>
    </row>
    <row r="24">
      <c r="A24" s="14" t="inlineStr">
        <is>
          <t>Наушники Lumen Max (полноразмерные, ANC)</t>
        </is>
      </c>
      <c r="B24" s="14" t="inlineStr">
        <is>
          <t>HP-3006</t>
        </is>
      </c>
      <c r="C24" s="15" t="n">
        <v>24990</v>
      </c>
      <c r="D24" s="15" t="n">
        <v>22990</v>
      </c>
      <c r="E24" s="16" t="n">
        <v>-0.08003201280512204</v>
      </c>
      <c r="F24" s="17" t="n"/>
    </row>
    <row r="25">
      <c r="A25" s="14" t="inlineStr">
        <is>
          <t>Ноутбук Aster Book 15 (Core i5 / 16 ГБ / 512 ГБ)</t>
        </is>
      </c>
      <c r="B25" s="14" t="inlineStr">
        <is>
          <t>NB-1001</t>
        </is>
      </c>
      <c r="C25" s="15" t="n">
        <v>64990</v>
      </c>
      <c r="D25" s="15" t="n">
        <v>59990</v>
      </c>
      <c r="E25" s="16" t="n">
        <v>-0.07693491306354824</v>
      </c>
      <c r="F25" s="17" t="n"/>
    </row>
    <row r="26">
      <c r="A26" s="14" t="inlineStr">
        <is>
          <t>Ноутбук Nordik Pro 16 (Core i7 / 32 ГБ / 1 ТБ / RTX…</t>
        </is>
      </c>
      <c r="B26" s="14" t="inlineStr">
        <is>
          <t>NB-1005</t>
        </is>
      </c>
      <c r="C26" s="15" t="n">
        <v>129990</v>
      </c>
      <c r="D26" s="15" t="n">
        <v>119990</v>
      </c>
      <c r="E26" s="16" t="n">
        <v>-0.07692899453804139</v>
      </c>
      <c r="F26" s="17" t="n"/>
    </row>
    <row r="27">
      <c r="A27" s="14" t="inlineStr">
        <is>
          <t>Ноутбук Lumen Studio 16 (Ryzen 9 / 32 ГБ / 2 ТБ)</t>
        </is>
      </c>
      <c r="B27" s="14" t="inlineStr">
        <is>
          <t>NB-1009</t>
        </is>
      </c>
      <c r="C27" s="15" t="n">
        <v>149990</v>
      </c>
      <c r="D27" s="15" t="n">
        <v>139990</v>
      </c>
      <c r="E27" s="16" t="n">
        <v>-0.06667111140742717</v>
      </c>
      <c r="F27" s="17" t="n"/>
    </row>
    <row r="28">
      <c r="A28" s="14" t="inlineStr">
        <is>
          <t>Наушники Zefir Buds 2 (TWS)</t>
        </is>
      </c>
      <c r="B28" s="14" t="inlineStr">
        <is>
          <t>HP-3001</t>
        </is>
      </c>
      <c r="C28" s="15" t="n">
        <v>3990</v>
      </c>
      <c r="D28" s="15" t="n">
        <v>3890</v>
      </c>
      <c r="E28" s="16" t="n">
        <v>-0.02506265664160401</v>
      </c>
      <c r="F28" s="17" t="n"/>
    </row>
    <row r="29">
      <c r="A29" s="14" t="inlineStr">
        <is>
          <t>Ноутбук Orbita Work 15 (Core i5 / 16 ГБ / 512 ГБ)</t>
        </is>
      </c>
      <c r="B29" s="14" t="inlineStr">
        <is>
          <t>NB-1012</t>
        </is>
      </c>
      <c r="C29" s="15" t="n">
        <v>57990</v>
      </c>
      <c r="D29" s="15" t="n">
        <v>62990</v>
      </c>
      <c r="E29" s="17" t="n"/>
      <c r="F29" s="18" t="n">
        <v>0.08622176237282292</v>
      </c>
    </row>
    <row r="30">
      <c r="A30" s="14" t="inlineStr">
        <is>
          <t>Наушники Lumen Air (TWS)</t>
        </is>
      </c>
      <c r="B30" s="14" t="inlineStr">
        <is>
          <t>HP-3005</t>
        </is>
      </c>
      <c r="C30" s="15" t="n">
        <v>5490</v>
      </c>
      <c r="D30" s="15" t="n">
        <v>5990</v>
      </c>
      <c r="E30" s="17" t="n"/>
      <c r="F30" s="18" t="n">
        <v>0.09107468123861566</v>
      </c>
    </row>
    <row r="31">
      <c r="A31" s="14" t="inlineStr">
        <is>
          <t>Смартфон Aster Nova 8 128 ГБ</t>
        </is>
      </c>
      <c r="B31" s="14" t="inlineStr">
        <is>
          <t>PH-2005</t>
        </is>
      </c>
      <c r="C31" s="15" t="n">
        <v>24990</v>
      </c>
      <c r="D31" s="15" t="n">
        <v>27990</v>
      </c>
      <c r="E31" s="17" t="n"/>
      <c r="F31" s="18" t="n">
        <v>0.1200480192076831</v>
      </c>
    </row>
  </sheetData>
  <mergeCells count="1">
    <mergeCell ref="A2:F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8B57"/>
    <outlinePr summaryBelow="1" summaryRight="1"/>
    <pageSetUpPr fitToPage="1"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60" customWidth="1" min="3" max="3"/>
    <col width="13" customWidth="1" min="4" max="4"/>
    <col width="14" customWidth="1" min="5" max="5"/>
    <col width="14" customWidth="1" min="6" max="6"/>
    <col width="17" customWidth="1" min="7" max="7"/>
    <col width="17" customWidth="1" min="8" max="8"/>
    <col width="34" customWidth="1" min="9" max="9"/>
  </cols>
  <sheetData>
    <row r="1" ht="26" customHeight="1">
      <c r="A1" s="3" t="inlineStr">
        <is>
          <t>Что изменилось</t>
        </is>
      </c>
      <c r="B1" s="3" t="inlineStr">
        <is>
          <t>Артикул</t>
        </is>
      </c>
      <c r="C1" s="3" t="inlineStr">
        <is>
          <t>Товар</t>
        </is>
      </c>
      <c r="D1" s="3" t="inlineStr">
        <is>
          <t>Раздел</t>
        </is>
      </c>
      <c r="E1" s="3" t="inlineStr">
        <is>
          <t>Было</t>
        </is>
      </c>
      <c r="F1" s="3" t="inlineStr">
        <is>
          <t>Стало</t>
        </is>
      </c>
      <c r="G1" s="3" t="inlineStr">
        <is>
          <t>Изменение, ₽</t>
        </is>
      </c>
      <c r="H1" s="3" t="inlineStr">
        <is>
          <t>Изменение, %</t>
        </is>
      </c>
      <c r="I1" s="3" t="inlineStr">
        <is>
          <t>Страница товара</t>
        </is>
      </c>
    </row>
    <row r="2">
      <c r="A2" s="6" t="inlineStr">
        <is>
          <t>Цена снизилась</t>
        </is>
      </c>
      <c r="B2" s="14" t="inlineStr">
        <is>
          <t>HP-3003</t>
        </is>
      </c>
      <c r="C2" s="14" t="inlineStr">
        <is>
          <t>Наушники Aster Sound ANC (накладные, Bluetooth)</t>
        </is>
      </c>
      <c r="D2" s="14" t="inlineStr">
        <is>
          <t>Наушники</t>
        </is>
      </c>
      <c r="E2" s="15" t="n">
        <v>12990</v>
      </c>
      <c r="F2" s="15" t="n">
        <v>9990</v>
      </c>
      <c r="G2" s="19" t="n">
        <v>-3000</v>
      </c>
      <c r="H2" s="16" t="n">
        <v>-0.2309468822170901</v>
      </c>
      <c r="I2" s="20" t="inlineStr">
        <is>
          <t>/product/hp-3003/</t>
        </is>
      </c>
    </row>
    <row r="3">
      <c r="A3" s="6" t="inlineStr">
        <is>
          <t>Цена снизилась</t>
        </is>
      </c>
      <c r="B3" s="14" t="inlineStr">
        <is>
          <t>PH-2010</t>
        </is>
      </c>
      <c r="C3" s="14" t="inlineStr">
        <is>
          <t>Смартфон Vektor A2 64 ГБ</t>
        </is>
      </c>
      <c r="D3" s="14" t="inlineStr">
        <is>
          <t>Смартфоны</t>
        </is>
      </c>
      <c r="E3" s="15" t="n">
        <v>9990</v>
      </c>
      <c r="F3" s="15" t="n">
        <v>8490</v>
      </c>
      <c r="G3" s="19" t="n">
        <v>-1500</v>
      </c>
      <c r="H3" s="16" t="n">
        <v>-0.1501501501501502</v>
      </c>
      <c r="I3" s="20" t="inlineStr">
        <is>
          <t>/product/ph-2010/</t>
        </is>
      </c>
    </row>
    <row r="4">
      <c r="A4" s="6" t="inlineStr">
        <is>
          <t>Цена снизилась</t>
        </is>
      </c>
      <c r="B4" s="14" t="inlineStr">
        <is>
          <t>NB-1003</t>
        </is>
      </c>
      <c r="C4" s="14" t="inlineStr">
        <is>
          <t>Ноутбук Aster Air 13 (Ryzen 5 / 8 ГБ / 256 ГБ)</t>
        </is>
      </c>
      <c r="D4" s="14" t="inlineStr">
        <is>
          <t>Ноутбуки</t>
        </is>
      </c>
      <c r="E4" s="15" t="n">
        <v>49990</v>
      </c>
      <c r="F4" s="15" t="n">
        <v>44990</v>
      </c>
      <c r="G4" s="19" t="n">
        <v>-5000</v>
      </c>
      <c r="H4" s="16" t="n">
        <v>-0.1000200040008002</v>
      </c>
      <c r="I4" s="20" t="inlineStr">
        <is>
          <t>/product/nb-1003/</t>
        </is>
      </c>
    </row>
    <row r="5">
      <c r="A5" s="6" t="inlineStr">
        <is>
          <t>Цена снизилась</t>
        </is>
      </c>
      <c r="B5" s="14" t="inlineStr">
        <is>
          <t>PH-2008</t>
        </is>
      </c>
      <c r="C5" s="14" t="inlineStr">
        <is>
          <t>Смартфон Lumen X Max 512 ГБ</t>
        </is>
      </c>
      <c r="D5" s="14" t="inlineStr">
        <is>
          <t>Смартфоны</t>
        </is>
      </c>
      <c r="E5" s="15" t="n">
        <v>71990</v>
      </c>
      <c r="F5" s="15" t="n">
        <v>64990</v>
      </c>
      <c r="G5" s="19" t="n">
        <v>-7000</v>
      </c>
      <c r="H5" s="16" t="n">
        <v>-0.09723572718433114</v>
      </c>
      <c r="I5" s="20" t="inlineStr">
        <is>
          <t>/product/ph-2008/</t>
        </is>
      </c>
    </row>
    <row r="6">
      <c r="A6" s="6" t="inlineStr">
        <is>
          <t>Цена снизилась</t>
        </is>
      </c>
      <c r="B6" s="14" t="inlineStr">
        <is>
          <t>PH-2002</t>
        </is>
      </c>
      <c r="C6" s="14" t="inlineStr">
        <is>
          <t>Смартфон Zefir S5 256 ГБ</t>
        </is>
      </c>
      <c r="D6" s="14" t="inlineStr">
        <is>
          <t>Смартфоны</t>
        </is>
      </c>
      <c r="E6" s="15" t="n">
        <v>21990</v>
      </c>
      <c r="F6" s="15" t="n">
        <v>19990</v>
      </c>
      <c r="G6" s="19" t="n">
        <v>-2000</v>
      </c>
      <c r="H6" s="16" t="n">
        <v>-0.09095043201455207</v>
      </c>
      <c r="I6" s="20" t="inlineStr">
        <is>
          <t>/product/ph-2002/</t>
        </is>
      </c>
    </row>
    <row r="7">
      <c r="A7" s="6" t="inlineStr">
        <is>
          <t>Цена снизилась</t>
        </is>
      </c>
      <c r="B7" s="14" t="inlineStr">
        <is>
          <t>HP-3009</t>
        </is>
      </c>
      <c r="C7" s="14" t="inlineStr">
        <is>
          <t>Наушники Orbita Kids (с ограничением громкости)</t>
        </is>
      </c>
      <c r="D7" s="14" t="inlineStr">
        <is>
          <t>Наушники</t>
        </is>
      </c>
      <c r="E7" s="15" t="n">
        <v>2490</v>
      </c>
      <c r="F7" s="15" t="n">
        <v>2290</v>
      </c>
      <c r="G7" s="19" t="n">
        <v>-200</v>
      </c>
      <c r="H7" s="16" t="n">
        <v>-0.08032128514056225</v>
      </c>
      <c r="I7" s="20" t="inlineStr">
        <is>
          <t>/product/hp-3009/</t>
        </is>
      </c>
    </row>
    <row r="8">
      <c r="A8" s="6" t="inlineStr">
        <is>
          <t>Цена снизилась</t>
        </is>
      </c>
      <c r="B8" s="14" t="inlineStr">
        <is>
          <t>HP-3006</t>
        </is>
      </c>
      <c r="C8" s="14" t="inlineStr">
        <is>
          <t>Наушники Lumen Max (полноразмерные, ANC)</t>
        </is>
      </c>
      <c r="D8" s="14" t="inlineStr">
        <is>
          <t>Наушники</t>
        </is>
      </c>
      <c r="E8" s="15" t="n">
        <v>24990</v>
      </c>
      <c r="F8" s="15" t="n">
        <v>22990</v>
      </c>
      <c r="G8" s="19" t="n">
        <v>-2000</v>
      </c>
      <c r="H8" s="16" t="n">
        <v>-0.08003201280512204</v>
      </c>
      <c r="I8" s="20" t="inlineStr">
        <is>
          <t>/product/hp-3006/</t>
        </is>
      </c>
    </row>
    <row r="9">
      <c r="A9" s="6" t="inlineStr">
        <is>
          <t>Цена снизилась</t>
        </is>
      </c>
      <c r="B9" s="14" t="inlineStr">
        <is>
          <t>NB-1001</t>
        </is>
      </c>
      <c r="C9" s="14" t="inlineStr">
        <is>
          <t>Ноутбук Aster Book 15 (Core i5 / 16 ГБ / 512 ГБ)</t>
        </is>
      </c>
      <c r="D9" s="14" t="inlineStr">
        <is>
          <t>Ноутбуки</t>
        </is>
      </c>
      <c r="E9" s="15" t="n">
        <v>64990</v>
      </c>
      <c r="F9" s="15" t="n">
        <v>59990</v>
      </c>
      <c r="G9" s="19" t="n">
        <v>-5000</v>
      </c>
      <c r="H9" s="16" t="n">
        <v>-0.07693491306354824</v>
      </c>
      <c r="I9" s="20" t="inlineStr">
        <is>
          <t>/product/nb-1001/</t>
        </is>
      </c>
    </row>
    <row r="10">
      <c r="A10" s="6" t="inlineStr">
        <is>
          <t>Цена снизилась</t>
        </is>
      </c>
      <c r="B10" s="14" t="inlineStr">
        <is>
          <t>NB-1005</t>
        </is>
      </c>
      <c r="C10" s="14" t="inlineStr">
        <is>
          <t>Ноутбук Nordik Pro 16 (Core i7 / 32 ГБ / 1 ТБ / RTX 4060)</t>
        </is>
      </c>
      <c r="D10" s="14" t="inlineStr">
        <is>
          <t>Ноутбуки</t>
        </is>
      </c>
      <c r="E10" s="15" t="n">
        <v>129990</v>
      </c>
      <c r="F10" s="15" t="n">
        <v>119990</v>
      </c>
      <c r="G10" s="19" t="n">
        <v>-10000</v>
      </c>
      <c r="H10" s="16" t="n">
        <v>-0.07692899453804139</v>
      </c>
      <c r="I10" s="20" t="inlineStr">
        <is>
          <t>/product/nb-1005/</t>
        </is>
      </c>
    </row>
    <row r="11">
      <c r="A11" s="6" t="inlineStr">
        <is>
          <t>Цена снизилась</t>
        </is>
      </c>
      <c r="B11" s="14" t="inlineStr">
        <is>
          <t>NB-1009</t>
        </is>
      </c>
      <c r="C11" s="14" t="inlineStr">
        <is>
          <t>Ноутбук Lumen Studio 16 (Ryzen 9 / 32 ГБ / 2 ТБ)</t>
        </is>
      </c>
      <c r="D11" s="14" t="inlineStr">
        <is>
          <t>Ноутбуки</t>
        </is>
      </c>
      <c r="E11" s="15" t="n">
        <v>149990</v>
      </c>
      <c r="F11" s="15" t="n">
        <v>139990</v>
      </c>
      <c r="G11" s="19" t="n">
        <v>-10000</v>
      </c>
      <c r="H11" s="16" t="n">
        <v>-0.06667111140742717</v>
      </c>
      <c r="I11" s="20" t="inlineStr">
        <is>
          <t>/product/nb-1009/</t>
        </is>
      </c>
    </row>
    <row r="12">
      <c r="A12" s="6" t="inlineStr">
        <is>
          <t>Цена снизилась</t>
        </is>
      </c>
      <c r="B12" s="14" t="inlineStr">
        <is>
          <t>HP-3001</t>
        </is>
      </c>
      <c r="C12" s="14" t="inlineStr">
        <is>
          <t>Наушники Zefir Buds 2 (TWS)</t>
        </is>
      </c>
      <c r="D12" s="14" t="inlineStr">
        <is>
          <t>Наушники</t>
        </is>
      </c>
      <c r="E12" s="15" t="n">
        <v>3990</v>
      </c>
      <c r="F12" s="15" t="n">
        <v>3890</v>
      </c>
      <c r="G12" s="19" t="n">
        <v>-100</v>
      </c>
      <c r="H12" s="16" t="n">
        <v>-0.02506265664160401</v>
      </c>
      <c r="I12" s="20" t="inlineStr">
        <is>
          <t>/product/hp-3001/</t>
        </is>
      </c>
    </row>
    <row r="13">
      <c r="A13" s="8" t="inlineStr">
        <is>
          <t>Цена выросла</t>
        </is>
      </c>
      <c r="B13" s="14" t="inlineStr">
        <is>
          <t>PH-2005</t>
        </is>
      </c>
      <c r="C13" s="14" t="inlineStr">
        <is>
          <t>Смартфон Aster Nova 8 128 ГБ</t>
        </is>
      </c>
      <c r="D13" s="14" t="inlineStr">
        <is>
          <t>Смартфоны</t>
        </is>
      </c>
      <c r="E13" s="15" t="n">
        <v>24990</v>
      </c>
      <c r="F13" s="15" t="n">
        <v>27990</v>
      </c>
      <c r="G13" s="21" t="n">
        <v>3000</v>
      </c>
      <c r="H13" s="18" t="n">
        <v>0.1200480192076831</v>
      </c>
      <c r="I13" s="20" t="inlineStr">
        <is>
          <t>/product/ph-2005/</t>
        </is>
      </c>
    </row>
    <row r="14">
      <c r="A14" s="8" t="inlineStr">
        <is>
          <t>Цена выросла</t>
        </is>
      </c>
      <c r="B14" s="14" t="inlineStr">
        <is>
          <t>HP-3005</t>
        </is>
      </c>
      <c r="C14" s="14" t="inlineStr">
        <is>
          <t>Наушники Lumen Air (TWS)</t>
        </is>
      </c>
      <c r="D14" s="14" t="inlineStr">
        <is>
          <t>Наушники</t>
        </is>
      </c>
      <c r="E14" s="15" t="n">
        <v>5490</v>
      </c>
      <c r="F14" s="15" t="n">
        <v>5990</v>
      </c>
      <c r="G14" s="21" t="n">
        <v>500</v>
      </c>
      <c r="H14" s="18" t="n">
        <v>0.09107468123861566</v>
      </c>
      <c r="I14" s="20" t="inlineStr">
        <is>
          <t>/product/hp-3005/</t>
        </is>
      </c>
    </row>
    <row r="15">
      <c r="A15" s="8" t="inlineStr">
        <is>
          <t>Цена выросла</t>
        </is>
      </c>
      <c r="B15" s="14" t="inlineStr">
        <is>
          <t>NB-1012</t>
        </is>
      </c>
      <c r="C15" s="14" t="inlineStr">
        <is>
          <t>Ноутбук Orbita Work 15 (Core i5 / 16 ГБ / 512 ГБ)</t>
        </is>
      </c>
      <c r="D15" s="14" t="inlineStr">
        <is>
          <t>Ноутбуки</t>
        </is>
      </c>
      <c r="E15" s="15" t="n">
        <v>57990</v>
      </c>
      <c r="F15" s="15" t="n">
        <v>62990</v>
      </c>
      <c r="G15" s="21" t="n">
        <v>5000</v>
      </c>
      <c r="H15" s="18" t="n">
        <v>0.08622176237282292</v>
      </c>
      <c r="I15" s="20" t="inlineStr">
        <is>
          <t>/product/nb-1012/</t>
        </is>
      </c>
    </row>
    <row r="16">
      <c r="A16" s="9" t="inlineStr">
        <is>
          <t>Новый товар</t>
        </is>
      </c>
      <c r="B16" s="14" t="inlineStr">
        <is>
          <t>HP-3011</t>
        </is>
      </c>
      <c r="C16" s="14" t="inlineStr">
        <is>
          <t>Наушники Aster Sound Air (TWS, ANC)</t>
        </is>
      </c>
      <c r="D16" s="14" t="inlineStr">
        <is>
          <t>Наушники</t>
        </is>
      </c>
      <c r="E16" s="22" t="inlineStr">
        <is>
          <t>—</t>
        </is>
      </c>
      <c r="F16" s="15" t="n">
        <v>7490</v>
      </c>
      <c r="G16" s="23" t="inlineStr">
        <is>
          <t>—</t>
        </is>
      </c>
      <c r="H16" s="23" t="inlineStr">
        <is>
          <t>—</t>
        </is>
      </c>
      <c r="I16" s="20" t="inlineStr">
        <is>
          <t>/product/hp-3011/</t>
        </is>
      </c>
    </row>
    <row r="17">
      <c r="A17" s="9" t="inlineStr">
        <is>
          <t>Новый товар</t>
        </is>
      </c>
      <c r="B17" s="14" t="inlineStr">
        <is>
          <t>NB-1015</t>
        </is>
      </c>
      <c r="C17" s="14" t="inlineStr">
        <is>
          <t>Ноутбук Nordik Pro 14 (Core i7 / 32 ГБ / 1 ТБ)</t>
        </is>
      </c>
      <c r="D17" s="14" t="inlineStr">
        <is>
          <t>Ноутбуки</t>
        </is>
      </c>
      <c r="E17" s="22" t="inlineStr">
        <is>
          <t>—</t>
        </is>
      </c>
      <c r="F17" s="15" t="n">
        <v>94990</v>
      </c>
      <c r="G17" s="23" t="inlineStr">
        <is>
          <t>—</t>
        </is>
      </c>
      <c r="H17" s="23" t="inlineStr">
        <is>
          <t>—</t>
        </is>
      </c>
      <c r="I17" s="20" t="inlineStr">
        <is>
          <t>/product/nb-1015/</t>
        </is>
      </c>
    </row>
    <row r="18">
      <c r="A18" s="9" t="inlineStr">
        <is>
          <t>Новый товар</t>
        </is>
      </c>
      <c r="B18" s="14" t="inlineStr">
        <is>
          <t>PH-2013</t>
        </is>
      </c>
      <c r="C18" s="14" t="inlineStr">
        <is>
          <t>Смартфон Zefir S6 256 ГБ</t>
        </is>
      </c>
      <c r="D18" s="14" t="inlineStr">
        <is>
          <t>Смартфоны</t>
        </is>
      </c>
      <c r="E18" s="22" t="inlineStr">
        <is>
          <t>—</t>
        </is>
      </c>
      <c r="F18" s="15" t="n">
        <v>29990</v>
      </c>
      <c r="G18" s="23" t="inlineStr">
        <is>
          <t>—</t>
        </is>
      </c>
      <c r="H18" s="23" t="inlineStr">
        <is>
          <t>—</t>
        </is>
      </c>
      <c r="I18" s="20" t="inlineStr">
        <is>
          <t>/product/ph-2013/</t>
        </is>
      </c>
    </row>
    <row r="19">
      <c r="A19" s="10" t="inlineStr">
        <is>
          <t>Товар пропал</t>
        </is>
      </c>
      <c r="B19" s="14" t="inlineStr">
        <is>
          <t>NB-1008</t>
        </is>
      </c>
      <c r="C19" s="14" t="inlineStr">
        <is>
          <t>Ноутбук Vektor Go 15 (Core i3 / 8 ГБ / 512 ГБ)</t>
        </is>
      </c>
      <c r="D19" s="14" t="inlineStr">
        <is>
          <t>Ноутбуки</t>
        </is>
      </c>
      <c r="E19" s="15" t="n">
        <v>38990</v>
      </c>
      <c r="F19" s="22" t="inlineStr">
        <is>
          <t>—</t>
        </is>
      </c>
      <c r="G19" s="23" t="inlineStr">
        <is>
          <t>—</t>
        </is>
      </c>
      <c r="H19" s="23" t="inlineStr">
        <is>
          <t>—</t>
        </is>
      </c>
      <c r="I19" s="20" t="inlineStr">
        <is>
          <t>/product/nb-1008/</t>
        </is>
      </c>
    </row>
    <row r="20">
      <c r="A20" s="10" t="inlineStr">
        <is>
          <t>Товар пропал</t>
        </is>
      </c>
      <c r="B20" s="14" t="inlineStr">
        <is>
          <t>PH-2012</t>
        </is>
      </c>
      <c r="C20" s="14" t="inlineStr">
        <is>
          <t>Смартфон Orbita Lite 128 ГБ</t>
        </is>
      </c>
      <c r="D20" s="14" t="inlineStr">
        <is>
          <t>Смартфоны</t>
        </is>
      </c>
      <c r="E20" s="15" t="n">
        <v>13990</v>
      </c>
      <c r="F20" s="22" t="inlineStr">
        <is>
          <t>—</t>
        </is>
      </c>
      <c r="G20" s="23" t="inlineStr">
        <is>
          <t>—</t>
        </is>
      </c>
      <c r="H20" s="23" t="inlineStr">
        <is>
          <t>—</t>
        </is>
      </c>
      <c r="I20" s="20" t="inlineStr">
        <is>
          <t>/product/ph-2012/</t>
        </is>
      </c>
    </row>
    <row r="21">
      <c r="A21" s="11" t="inlineStr">
        <is>
          <t>Снова в наличии</t>
        </is>
      </c>
      <c r="B21" s="14" t="inlineStr">
        <is>
          <t>HP-3008</t>
        </is>
      </c>
      <c r="C21" s="14" t="inlineStr">
        <is>
          <t>Наушники Vektor Mini &amp; кейс «Pocket» (проводные)</t>
        </is>
      </c>
      <c r="D21" s="14" t="inlineStr">
        <is>
          <t>Наушники</t>
        </is>
      </c>
      <c r="E21" s="15" t="n">
        <v>990</v>
      </c>
      <c r="F21" s="15" t="n">
        <v>990</v>
      </c>
      <c r="G21" s="23" t="inlineStr">
        <is>
          <t>—</t>
        </is>
      </c>
      <c r="H21" s="23" t="inlineStr">
        <is>
          <t>—</t>
        </is>
      </c>
      <c r="I21" s="20" t="inlineStr">
        <is>
          <t>/product/hp-3008/</t>
        </is>
      </c>
    </row>
    <row r="22">
      <c r="A22" s="11" t="inlineStr">
        <is>
          <t>Снова в наличии</t>
        </is>
      </c>
      <c r="B22" s="14" t="inlineStr">
        <is>
          <t>NB-1011</t>
        </is>
      </c>
      <c r="C22" s="14" t="inlineStr">
        <is>
          <t>Ноутбук Orbita Edu 11 (N100 / 4 ГБ / 128 ГБ)</t>
        </is>
      </c>
      <c r="D22" s="14" t="inlineStr">
        <is>
          <t>Ноутбуки</t>
        </is>
      </c>
      <c r="E22" s="15" t="n">
        <v>19990</v>
      </c>
      <c r="F22" s="15" t="n">
        <v>19990</v>
      </c>
      <c r="G22" s="23" t="inlineStr">
        <is>
          <t>—</t>
        </is>
      </c>
      <c r="H22" s="23" t="inlineStr">
        <is>
          <t>—</t>
        </is>
      </c>
      <c r="I22" s="20" t="inlineStr">
        <is>
          <t>/product/nb-1011/</t>
        </is>
      </c>
    </row>
    <row r="23">
      <c r="A23" s="11" t="inlineStr">
        <is>
          <t>Снова в наличии</t>
        </is>
      </c>
      <c r="B23" s="14" t="inlineStr">
        <is>
          <t>PH-2009</t>
        </is>
      </c>
      <c r="C23" s="14" t="inlineStr">
        <is>
          <t>Смартфон Nordik Fold 512 ГБ</t>
        </is>
      </c>
      <c r="D23" s="14" t="inlineStr">
        <is>
          <t>Смартфоны</t>
        </is>
      </c>
      <c r="E23" s="15" t="n">
        <v>94990</v>
      </c>
      <c r="F23" s="15" t="n">
        <v>94990</v>
      </c>
      <c r="G23" s="23" t="inlineStr">
        <is>
          <t>—</t>
        </is>
      </c>
      <c r="H23" s="23" t="inlineStr">
        <is>
          <t>—</t>
        </is>
      </c>
      <c r="I23" s="20" t="inlineStr">
        <is>
          <t>/product/ph-2009/</t>
        </is>
      </c>
    </row>
    <row r="24">
      <c r="A24" s="12" t="inlineStr">
        <is>
          <t>Нет в наличии</t>
        </is>
      </c>
      <c r="B24" s="14" t="inlineStr">
        <is>
          <t>HP-3007</t>
        </is>
      </c>
      <c r="C24" s="14" t="inlineStr">
        <is>
          <t>Наушники Nordik Run (спортивные, Bluetooth)</t>
        </is>
      </c>
      <c r="D24" s="14" t="inlineStr">
        <is>
          <t>Наушники</t>
        </is>
      </c>
      <c r="E24" s="15" t="n">
        <v>2990</v>
      </c>
      <c r="F24" s="15" t="n">
        <v>2990</v>
      </c>
      <c r="G24" s="23" t="inlineStr">
        <is>
          <t>—</t>
        </is>
      </c>
      <c r="H24" s="23" t="inlineStr">
        <is>
          <t>—</t>
        </is>
      </c>
      <c r="I24" s="20" t="inlineStr">
        <is>
          <t>/product/hp-3007/</t>
        </is>
      </c>
    </row>
    <row r="25">
      <c r="A25" s="12" t="inlineStr">
        <is>
          <t>Нет в наличии</t>
        </is>
      </c>
      <c r="B25" s="14" t="inlineStr">
        <is>
          <t>NB-1006</t>
        </is>
      </c>
      <c r="C25" s="14" t="inlineStr">
        <is>
          <t>Ноутбук Nordik Pro 14 (Core i5 / 16 ГБ / 512 ГБ)</t>
        </is>
      </c>
      <c r="D25" s="14" t="inlineStr">
        <is>
          <t>Ноутбуки</t>
        </is>
      </c>
      <c r="E25" s="15" t="n">
        <v>74990</v>
      </c>
      <c r="F25" s="15" t="n">
        <v>74990</v>
      </c>
      <c r="G25" s="23" t="inlineStr">
        <is>
          <t>—</t>
        </is>
      </c>
      <c r="H25" s="23" t="inlineStr">
        <is>
          <t>—</t>
        </is>
      </c>
      <c r="I25" s="20" t="inlineStr">
        <is>
          <t>/product/nb-1006/</t>
        </is>
      </c>
    </row>
    <row r="26">
      <c r="A26" s="12" t="inlineStr">
        <is>
          <t>Нет в наличии</t>
        </is>
      </c>
      <c r="B26" s="14" t="inlineStr">
        <is>
          <t>PH-2004</t>
        </is>
      </c>
      <c r="C26" s="14" t="inlineStr">
        <is>
          <t>Смартфон Zefir S5 Ultra 512 ГБ</t>
        </is>
      </c>
      <c r="D26" s="14" t="inlineStr">
        <is>
          <t>Смартфоны</t>
        </is>
      </c>
      <c r="E26" s="15" t="n">
        <v>59990</v>
      </c>
      <c r="F26" s="15" t="n">
        <v>59990</v>
      </c>
      <c r="G26" s="23" t="inlineStr">
        <is>
          <t>—</t>
        </is>
      </c>
      <c r="H26" s="23" t="inlineStr">
        <is>
          <t>—</t>
        </is>
      </c>
      <c r="I26" s="20" t="inlineStr">
        <is>
          <t>/product/ph-2004/</t>
        </is>
      </c>
    </row>
  </sheetData>
  <autoFilter ref="A1:I2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6B7783"/>
    <outlinePr summaryBelow="1" summaryRight="1"/>
    <pageSetUpPr fitToPage="1"/>
  </sheetPr>
  <dimension ref="A1:I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0" customWidth="1" min="2" max="2"/>
    <col width="13" customWidth="1" min="3" max="3"/>
    <col width="14" customWidth="1" min="4" max="4"/>
    <col width="14" customWidth="1" min="5" max="5"/>
    <col width="9" customWidth="1" min="6" max="6"/>
    <col width="12" customWidth="1" min="7" max="7"/>
    <col width="20" customWidth="1" min="8" max="8"/>
    <col width="34" customWidth="1" min="9" max="9"/>
  </cols>
  <sheetData>
    <row r="1" ht="26" customHeight="1">
      <c r="A1" s="3" t="inlineStr">
        <is>
          <t>Артикул</t>
        </is>
      </c>
      <c r="B1" s="3" t="inlineStr">
        <is>
          <t>Товар</t>
        </is>
      </c>
      <c r="C1" s="3" t="inlineStr">
        <is>
          <t>Раздел</t>
        </is>
      </c>
      <c r="D1" s="3" t="inlineStr">
        <is>
          <t>Цена</t>
        </is>
      </c>
      <c r="E1" s="3" t="inlineStr">
        <is>
          <t>Старая цена</t>
        </is>
      </c>
      <c r="F1" s="3" t="inlineStr">
        <is>
          <t>Скидка</t>
        </is>
      </c>
      <c r="G1" s="3" t="inlineStr">
        <is>
          <t>Наличие</t>
        </is>
      </c>
      <c r="H1" s="3" t="inlineStr">
        <is>
          <t>Примечание</t>
        </is>
      </c>
      <c r="I1" s="3" t="inlineStr">
        <is>
          <t>Страница товара</t>
        </is>
      </c>
    </row>
    <row r="2">
      <c r="A2" s="14" t="inlineStr">
        <is>
          <t>HP-3001</t>
        </is>
      </c>
      <c r="B2" s="14" t="inlineStr">
        <is>
          <t>Наушники Zefir Buds 2 (TWS)</t>
        </is>
      </c>
      <c r="C2" s="14" t="inlineStr">
        <is>
          <t>Наушники</t>
        </is>
      </c>
      <c r="D2" s="15" t="n">
        <v>3890</v>
      </c>
      <c r="E2" s="17" t="n"/>
      <c r="F2" s="17" t="n"/>
      <c r="G2" s="24" t="inlineStr">
        <is>
          <t>в наличии</t>
        </is>
      </c>
      <c r="H2" s="25" t="inlineStr"/>
      <c r="I2" s="20" t="inlineStr">
        <is>
          <t>/product/hp-3001/</t>
        </is>
      </c>
    </row>
    <row r="3">
      <c r="A3" s="26" t="inlineStr">
        <is>
          <t>HP-3002</t>
        </is>
      </c>
      <c r="B3" s="26" t="inlineStr">
        <is>
          <t>Наушники Zefir Buds Pro (TWS, ANC)</t>
        </is>
      </c>
      <c r="C3" s="26" t="inlineStr">
        <is>
          <t>Наушники</t>
        </is>
      </c>
      <c r="D3" s="27" t="n">
        <v>8990</v>
      </c>
      <c r="E3" s="28" t="n"/>
      <c r="F3" s="28" t="n"/>
      <c r="G3" s="29" t="inlineStr">
        <is>
          <t>в наличии</t>
        </is>
      </c>
      <c r="H3" s="30" t="inlineStr">
        <is>
          <t>цена «от»</t>
        </is>
      </c>
      <c r="I3" s="31" t="inlineStr">
        <is>
          <t>/product/hp-3002/</t>
        </is>
      </c>
    </row>
    <row r="4">
      <c r="A4" s="14" t="inlineStr">
        <is>
          <t>HP-3003</t>
        </is>
      </c>
      <c r="B4" s="14" t="inlineStr">
        <is>
          <t>Наушники Aster Sound ANC (накладные, Bluetooth)</t>
        </is>
      </c>
      <c r="C4" s="14" t="inlineStr">
        <is>
          <t>Наушники</t>
        </is>
      </c>
      <c r="D4" s="15" t="n">
        <v>9990</v>
      </c>
      <c r="E4" s="32" t="n">
        <v>12990</v>
      </c>
      <c r="F4" s="33" t="n">
        <v>-0.23094688221709</v>
      </c>
      <c r="G4" s="24" t="inlineStr">
        <is>
          <t>в наличии</t>
        </is>
      </c>
      <c r="H4" s="25" t="inlineStr"/>
      <c r="I4" s="20" t="inlineStr">
        <is>
          <t>/product/hp-3003/</t>
        </is>
      </c>
    </row>
    <row r="5">
      <c r="A5" s="26" t="inlineStr">
        <is>
          <t>HP-3004</t>
        </is>
      </c>
      <c r="B5" s="26" t="inlineStr">
        <is>
          <t>Наушники Aster Sound Studio (проводные)</t>
        </is>
      </c>
      <c r="C5" s="26" t="inlineStr">
        <is>
          <t>Наушники</t>
        </is>
      </c>
      <c r="D5" s="27" t="n">
        <v>6990</v>
      </c>
      <c r="E5" s="34" t="n">
        <v>7990</v>
      </c>
      <c r="F5" s="35" t="n">
        <v>-0.1251564455569462</v>
      </c>
      <c r="G5" s="29" t="inlineStr">
        <is>
          <t>в наличии</t>
        </is>
      </c>
      <c r="H5" s="30" t="inlineStr"/>
      <c r="I5" s="31" t="inlineStr">
        <is>
          <t>/product/hp-3004/</t>
        </is>
      </c>
    </row>
    <row r="6">
      <c r="A6" s="14" t="inlineStr">
        <is>
          <t>HP-3005</t>
        </is>
      </c>
      <c r="B6" s="14" t="inlineStr">
        <is>
          <t>Наушники Lumen Air (TWS)</t>
        </is>
      </c>
      <c r="C6" s="14" t="inlineStr">
        <is>
          <t>Наушники</t>
        </is>
      </c>
      <c r="D6" s="15" t="n">
        <v>5990</v>
      </c>
      <c r="E6" s="17" t="n"/>
      <c r="F6" s="17" t="n"/>
      <c r="G6" s="24" t="inlineStr">
        <is>
          <t>в наличии</t>
        </is>
      </c>
      <c r="H6" s="25" t="inlineStr"/>
      <c r="I6" s="20" t="inlineStr">
        <is>
          <t>/product/hp-3005/</t>
        </is>
      </c>
    </row>
    <row r="7">
      <c r="A7" s="26" t="inlineStr">
        <is>
          <t>HP-3006</t>
        </is>
      </c>
      <c r="B7" s="26" t="inlineStr">
        <is>
          <t>Наушники Lumen Max (полноразмерные, ANC)</t>
        </is>
      </c>
      <c r="C7" s="26" t="inlineStr">
        <is>
          <t>Наушники</t>
        </is>
      </c>
      <c r="D7" s="27" t="n">
        <v>22990</v>
      </c>
      <c r="E7" s="28" t="n"/>
      <c r="F7" s="28" t="n"/>
      <c r="G7" s="29" t="inlineStr">
        <is>
          <t>в наличии</t>
        </is>
      </c>
      <c r="H7" s="30" t="inlineStr"/>
      <c r="I7" s="31" t="inlineStr">
        <is>
          <t>/product/hp-3006/</t>
        </is>
      </c>
    </row>
    <row r="8">
      <c r="A8" s="14" t="inlineStr">
        <is>
          <t>HP-3007</t>
        </is>
      </c>
      <c r="B8" s="14" t="inlineStr">
        <is>
          <t>Наушники Nordik Run (спортивные, Bluetooth)</t>
        </is>
      </c>
      <c r="C8" s="14" t="inlineStr">
        <is>
          <t>Наушники</t>
        </is>
      </c>
      <c r="D8" s="15" t="n">
        <v>2990</v>
      </c>
      <c r="E8" s="17" t="n"/>
      <c r="F8" s="17" t="n"/>
      <c r="G8" s="36" t="inlineStr">
        <is>
          <t>нет</t>
        </is>
      </c>
      <c r="H8" s="25" t="inlineStr"/>
      <c r="I8" s="20" t="inlineStr">
        <is>
          <t>/product/hp-3007/</t>
        </is>
      </c>
    </row>
    <row r="9">
      <c r="A9" s="26" t="inlineStr">
        <is>
          <t>HP-3008</t>
        </is>
      </c>
      <c r="B9" s="26" t="inlineStr">
        <is>
          <t>Наушники Vektor Mini &amp; кейс «Pocket» (проводные)</t>
        </is>
      </c>
      <c r="C9" s="26" t="inlineStr">
        <is>
          <t>Наушники</t>
        </is>
      </c>
      <c r="D9" s="27" t="n">
        <v>990</v>
      </c>
      <c r="E9" s="28" t="n"/>
      <c r="F9" s="28" t="n"/>
      <c r="G9" s="29" t="inlineStr">
        <is>
          <t>в наличии</t>
        </is>
      </c>
      <c r="H9" s="30" t="inlineStr"/>
      <c r="I9" s="31" t="inlineStr">
        <is>
          <t>/product/hp-3008/</t>
        </is>
      </c>
    </row>
    <row r="10">
      <c r="A10" s="14" t="inlineStr">
        <is>
          <t>HP-3009</t>
        </is>
      </c>
      <c r="B10" s="14" t="inlineStr">
        <is>
          <t>Наушники Orbita Kids (с ограничением громкости)</t>
        </is>
      </c>
      <c r="C10" s="14" t="inlineStr">
        <is>
          <t>Наушники</t>
        </is>
      </c>
      <c r="D10" s="15" t="n">
        <v>2290</v>
      </c>
      <c r="E10" s="32" t="n">
        <v>2990</v>
      </c>
      <c r="F10" s="33" t="n">
        <v>-0.2341137123745819</v>
      </c>
      <c r="G10" s="24" t="inlineStr">
        <is>
          <t>в наличии</t>
        </is>
      </c>
      <c r="H10" s="25" t="inlineStr"/>
      <c r="I10" s="20" t="inlineStr">
        <is>
          <t>/product/hp-3009/</t>
        </is>
      </c>
    </row>
    <row r="11">
      <c r="A11" s="26" t="inlineStr">
        <is>
          <t>HP-3010</t>
        </is>
      </c>
      <c r="B11" s="26" t="inlineStr">
        <is>
          <t>Наушники Kvant Pulse (TWS, игровые)</t>
        </is>
      </c>
      <c r="C11" s="26" t="inlineStr">
        <is>
          <t>Наушники</t>
        </is>
      </c>
      <c r="D11" s="27" t="n">
        <v>4490</v>
      </c>
      <c r="E11" s="28" t="n"/>
      <c r="F11" s="28" t="n"/>
      <c r="G11" s="29" t="inlineStr">
        <is>
          <t>в наличии</t>
        </is>
      </c>
      <c r="H11" s="30" t="inlineStr"/>
      <c r="I11" s="31" t="inlineStr">
        <is>
          <t>/product/hp-3010/</t>
        </is>
      </c>
    </row>
    <row r="12">
      <c r="A12" s="14" t="inlineStr">
        <is>
          <t>HP-3011</t>
        </is>
      </c>
      <c r="B12" s="14" t="inlineStr">
        <is>
          <t>Наушники Aster Sound Air (TWS, ANC)</t>
        </is>
      </c>
      <c r="C12" s="14" t="inlineStr">
        <is>
          <t>Наушники</t>
        </is>
      </c>
      <c r="D12" s="15" t="n">
        <v>7490</v>
      </c>
      <c r="E12" s="17" t="n"/>
      <c r="F12" s="17" t="n"/>
      <c r="G12" s="24" t="inlineStr">
        <is>
          <t>в наличии</t>
        </is>
      </c>
      <c r="H12" s="25" t="inlineStr"/>
      <c r="I12" s="20" t="inlineStr">
        <is>
          <t>/product/hp-3011/</t>
        </is>
      </c>
    </row>
    <row r="13">
      <c r="A13" s="26" t="inlineStr">
        <is>
          <t>NB-1001</t>
        </is>
      </c>
      <c r="B13" s="26" t="inlineStr">
        <is>
          <t>Ноутбук Aster Book 15 (Core i5 / 16 ГБ / 512 ГБ)</t>
        </is>
      </c>
      <c r="C13" s="26" t="inlineStr">
        <is>
          <t>Ноутбуки</t>
        </is>
      </c>
      <c r="D13" s="27" t="n">
        <v>59990</v>
      </c>
      <c r="E13" s="28" t="n"/>
      <c r="F13" s="28" t="n"/>
      <c r="G13" s="29" t="inlineStr">
        <is>
          <t>в наличии</t>
        </is>
      </c>
      <c r="H13" s="30" t="inlineStr"/>
      <c r="I13" s="31" t="inlineStr">
        <is>
          <t>/product/nb-1001/</t>
        </is>
      </c>
    </row>
    <row r="14">
      <c r="A14" s="14" t="inlineStr">
        <is>
          <t>NB-1002</t>
        </is>
      </c>
      <c r="B14" s="14" t="inlineStr">
        <is>
          <t>Ноутбук Aster Book 15 (Core i7 / 16 ГБ / 1 ТБ)</t>
        </is>
      </c>
      <c r="C14" s="14" t="inlineStr">
        <is>
          <t>Ноутбуки</t>
        </is>
      </c>
      <c r="D14" s="15" t="n">
        <v>82990</v>
      </c>
      <c r="E14" s="17" t="n"/>
      <c r="F14" s="17" t="n"/>
      <c r="G14" s="24" t="inlineStr">
        <is>
          <t>в наличии</t>
        </is>
      </c>
      <c r="H14" s="25" t="inlineStr"/>
      <c r="I14" s="20" t="inlineStr">
        <is>
          <t>/product/nb-1002/</t>
        </is>
      </c>
    </row>
    <row r="15">
      <c r="A15" s="26" t="inlineStr">
        <is>
          <t>NB-1003</t>
        </is>
      </c>
      <c r="B15" s="26" t="inlineStr">
        <is>
          <t>Ноутбук Aster Air 13 (Ryzen 5 / 8 ГБ / 256 ГБ)</t>
        </is>
      </c>
      <c r="C15" s="26" t="inlineStr">
        <is>
          <t>Ноутбуки</t>
        </is>
      </c>
      <c r="D15" s="27" t="n">
        <v>44990</v>
      </c>
      <c r="E15" s="34" t="n">
        <v>49990</v>
      </c>
      <c r="F15" s="35" t="n">
        <v>-0.1000200040008001</v>
      </c>
      <c r="G15" s="29" t="inlineStr">
        <is>
          <t>в наличии</t>
        </is>
      </c>
      <c r="H15" s="30" t="inlineStr"/>
      <c r="I15" s="31" t="inlineStr">
        <is>
          <t>/product/nb-1003/</t>
        </is>
      </c>
    </row>
    <row r="16">
      <c r="A16" s="14" t="inlineStr">
        <is>
          <t>NB-1004</t>
        </is>
      </c>
      <c r="B16" s="14" t="inlineStr">
        <is>
          <t>Ноутбук Aster Air 14 (Ryzen 7 / 16 ГБ / 512 ГБ)</t>
        </is>
      </c>
      <c r="C16" s="14" t="inlineStr">
        <is>
          <t>Ноутбуки</t>
        </is>
      </c>
      <c r="D16" s="15" t="n">
        <v>67990</v>
      </c>
      <c r="E16" s="17" t="n"/>
      <c r="F16" s="17" t="n"/>
      <c r="G16" s="24" t="inlineStr">
        <is>
          <t>в наличии</t>
        </is>
      </c>
      <c r="H16" s="25" t="inlineStr"/>
      <c r="I16" s="20" t="inlineStr">
        <is>
          <t>/product/nb-1004/</t>
        </is>
      </c>
    </row>
    <row r="17">
      <c r="A17" s="26" t="inlineStr">
        <is>
          <t>NB-1005</t>
        </is>
      </c>
      <c r="B17" s="26" t="inlineStr">
        <is>
          <t>Ноутбук Nordik Pro 16 (Core i7 / 32 ГБ / 1 ТБ / RTX 4060)</t>
        </is>
      </c>
      <c r="C17" s="26" t="inlineStr">
        <is>
          <t>Ноутбуки</t>
        </is>
      </c>
      <c r="D17" s="27" t="n">
        <v>119990</v>
      </c>
      <c r="E17" s="28" t="n"/>
      <c r="F17" s="28" t="n"/>
      <c r="G17" s="29" t="inlineStr">
        <is>
          <t>в наличии</t>
        </is>
      </c>
      <c r="H17" s="30" t="inlineStr"/>
      <c r="I17" s="31" t="inlineStr">
        <is>
          <t>/product/nb-1005/</t>
        </is>
      </c>
    </row>
    <row r="18">
      <c r="A18" s="14" t="inlineStr">
        <is>
          <t>NB-1006</t>
        </is>
      </c>
      <c r="B18" s="14" t="inlineStr">
        <is>
          <t>Ноутбук Nordik Pro 14 (Core i5 / 16 ГБ / 512 ГБ)</t>
        </is>
      </c>
      <c r="C18" s="14" t="inlineStr">
        <is>
          <t>Ноутбуки</t>
        </is>
      </c>
      <c r="D18" s="15" t="n">
        <v>74990</v>
      </c>
      <c r="E18" s="17" t="n"/>
      <c r="F18" s="17" t="n"/>
      <c r="G18" s="36" t="inlineStr">
        <is>
          <t>нет</t>
        </is>
      </c>
      <c r="H18" s="25" t="inlineStr"/>
      <c r="I18" s="20" t="inlineStr">
        <is>
          <t>/product/nb-1006/</t>
        </is>
      </c>
    </row>
    <row r="19">
      <c r="A19" s="26" t="inlineStr">
        <is>
          <t>NB-1007</t>
        </is>
      </c>
      <c r="B19" s="26" t="inlineStr">
        <is>
          <t>Ноутбук Vektor Go 15 (Celeron / 8 ГБ / 256 ГБ)</t>
        </is>
      </c>
      <c r="C19" s="26" t="inlineStr">
        <is>
          <t>Ноутбуки</t>
        </is>
      </c>
      <c r="D19" s="27" t="n">
        <v>29990</v>
      </c>
      <c r="E19" s="34" t="n">
        <v>32990</v>
      </c>
      <c r="F19" s="35" t="n">
        <v>-0.09093664746892993</v>
      </c>
      <c r="G19" s="29" t="inlineStr">
        <is>
          <t>в наличии</t>
        </is>
      </c>
      <c r="H19" s="30" t="inlineStr"/>
      <c r="I19" s="31" t="inlineStr">
        <is>
          <t>/product/nb-1007/</t>
        </is>
      </c>
    </row>
    <row r="20">
      <c r="A20" s="14" t="inlineStr">
        <is>
          <t>NB-1009</t>
        </is>
      </c>
      <c r="B20" s="14" t="inlineStr">
        <is>
          <t>Ноутбук Lumen Studio 16 (Ryzen 9 / 32 ГБ / 2 ТБ)</t>
        </is>
      </c>
      <c r="C20" s="14" t="inlineStr">
        <is>
          <t>Ноутбуки</t>
        </is>
      </c>
      <c r="D20" s="15" t="n">
        <v>139990</v>
      </c>
      <c r="E20" s="17" t="n"/>
      <c r="F20" s="17" t="n"/>
      <c r="G20" s="24" t="inlineStr">
        <is>
          <t>в наличии</t>
        </is>
      </c>
      <c r="H20" s="25" t="inlineStr"/>
      <c r="I20" s="20" t="inlineStr">
        <is>
          <t>/product/nb-1009/</t>
        </is>
      </c>
    </row>
    <row r="21">
      <c r="A21" s="26" t="inlineStr">
        <is>
          <t>NB-1010</t>
        </is>
      </c>
      <c r="B21" s="26" t="inlineStr">
        <is>
          <t>Ноутбук Lumen Slim 14 (Core i5 / 16 ГБ / 512 ГБ)</t>
        </is>
      </c>
      <c r="C21" s="26" t="inlineStr">
        <is>
          <t>Ноутбуки</t>
        </is>
      </c>
      <c r="D21" s="27" t="n">
        <v>71990</v>
      </c>
      <c r="E21" s="28" t="n"/>
      <c r="F21" s="28" t="n"/>
      <c r="G21" s="29" t="inlineStr">
        <is>
          <t>в наличии</t>
        </is>
      </c>
      <c r="H21" s="30" t="inlineStr"/>
      <c r="I21" s="31" t="inlineStr">
        <is>
          <t>/product/nb-1010/</t>
        </is>
      </c>
    </row>
    <row r="22">
      <c r="A22" s="14" t="inlineStr">
        <is>
          <t>NB-1011</t>
        </is>
      </c>
      <c r="B22" s="14" t="inlineStr">
        <is>
          <t>Ноутбук Orbita Edu 11 (N100 / 4 ГБ / 128 ГБ)</t>
        </is>
      </c>
      <c r="C22" s="14" t="inlineStr">
        <is>
          <t>Ноутбуки</t>
        </is>
      </c>
      <c r="D22" s="15" t="n">
        <v>19990</v>
      </c>
      <c r="E22" s="17" t="n"/>
      <c r="F22" s="17" t="n"/>
      <c r="G22" s="24" t="inlineStr">
        <is>
          <t>в наличии</t>
        </is>
      </c>
      <c r="H22" s="25" t="inlineStr"/>
      <c r="I22" s="20" t="inlineStr">
        <is>
          <t>/product/nb-1011/</t>
        </is>
      </c>
    </row>
    <row r="23">
      <c r="A23" s="26" t="inlineStr">
        <is>
          <t>NB-1012</t>
        </is>
      </c>
      <c r="B23" s="26" t="inlineStr">
        <is>
          <t>Ноутбук Orbita Work 15 (Core i5 / 16 ГБ / 512 ГБ)</t>
        </is>
      </c>
      <c r="C23" s="26" t="inlineStr">
        <is>
          <t>Ноутбуки</t>
        </is>
      </c>
      <c r="D23" s="27" t="n">
        <v>62990</v>
      </c>
      <c r="E23" s="28" t="n"/>
      <c r="F23" s="28" t="n"/>
      <c r="G23" s="29" t="inlineStr">
        <is>
          <t>в наличии</t>
        </is>
      </c>
      <c r="H23" s="30" t="inlineStr"/>
      <c r="I23" s="31" t="inlineStr">
        <is>
          <t>/product/nb-1012/</t>
        </is>
      </c>
    </row>
    <row r="24">
      <c r="A24" s="14" t="inlineStr">
        <is>
          <t>NB-1013</t>
        </is>
      </c>
      <c r="B24" s="14" t="inlineStr">
        <is>
          <t>Ноутбук Kvant Max 17 (Ryzen 7 / 32 ГБ / 1 ТБ / RTX 4070)</t>
        </is>
      </c>
      <c r="C24" s="14" t="inlineStr">
        <is>
          <t>Ноутбуки</t>
        </is>
      </c>
      <c r="D24" s="22" t="inlineStr">
        <is>
          <t>—</t>
        </is>
      </c>
      <c r="E24" s="17" t="n"/>
      <c r="F24" s="17" t="n"/>
      <c r="G24" s="24" t="inlineStr">
        <is>
          <t>в наличии</t>
        </is>
      </c>
      <c r="H24" s="25" t="inlineStr">
        <is>
          <t>цена по запросу</t>
        </is>
      </c>
      <c r="I24" s="20" t="inlineStr">
        <is>
          <t>/product/nb-1013/</t>
        </is>
      </c>
    </row>
    <row r="25">
      <c r="A25" s="26" t="inlineStr">
        <is>
          <t>NB-1014</t>
        </is>
      </c>
      <c r="B25" s="26" t="inlineStr">
        <is>
          <t>Ноутбук Kvant One 15 (Core i3 / 8 ГБ / 256 ГБ)</t>
        </is>
      </c>
      <c r="C25" s="26" t="inlineStr">
        <is>
          <t>Ноутбуки</t>
        </is>
      </c>
      <c r="D25" s="27" t="n">
        <v>34990</v>
      </c>
      <c r="E25" s="28" t="n"/>
      <c r="F25" s="28" t="n"/>
      <c r="G25" s="29" t="inlineStr">
        <is>
          <t>в наличии</t>
        </is>
      </c>
      <c r="H25" s="30" t="inlineStr"/>
      <c r="I25" s="31" t="inlineStr">
        <is>
          <t>/product/nb-1014/</t>
        </is>
      </c>
    </row>
    <row r="26">
      <c r="A26" s="14" t="inlineStr">
        <is>
          <t>NB-1015</t>
        </is>
      </c>
      <c r="B26" s="14" t="inlineStr">
        <is>
          <t>Ноутбук Nordik Pro 14 (Core i7 / 32 ГБ / 1 ТБ)</t>
        </is>
      </c>
      <c r="C26" s="14" t="inlineStr">
        <is>
          <t>Ноутбуки</t>
        </is>
      </c>
      <c r="D26" s="15" t="n">
        <v>94990</v>
      </c>
      <c r="E26" s="17" t="n"/>
      <c r="F26" s="17" t="n"/>
      <c r="G26" s="24" t="inlineStr">
        <is>
          <t>в наличии</t>
        </is>
      </c>
      <c r="H26" s="25" t="inlineStr"/>
      <c r="I26" s="20" t="inlineStr">
        <is>
          <t>/product/nb-1015/</t>
        </is>
      </c>
    </row>
    <row r="27">
      <c r="A27" s="26" t="inlineStr">
        <is>
          <t>PH-2001</t>
        </is>
      </c>
      <c r="B27" s="26" t="inlineStr">
        <is>
          <t>Смартфон Zefir S5 128 ГБ</t>
        </is>
      </c>
      <c r="C27" s="26" t="inlineStr">
        <is>
          <t>Смартфоны</t>
        </is>
      </c>
      <c r="D27" s="27" t="n">
        <v>17990</v>
      </c>
      <c r="E27" s="34" t="n">
        <v>19990</v>
      </c>
      <c r="F27" s="35" t="n">
        <v>-0.1000500250125063</v>
      </c>
      <c r="G27" s="29" t="inlineStr">
        <is>
          <t>в наличии</t>
        </is>
      </c>
      <c r="H27" s="30" t="inlineStr"/>
      <c r="I27" s="31" t="inlineStr">
        <is>
          <t>/product/ph-2001/</t>
        </is>
      </c>
    </row>
    <row r="28">
      <c r="A28" s="14" t="inlineStr">
        <is>
          <t>PH-2002</t>
        </is>
      </c>
      <c r="B28" s="14" t="inlineStr">
        <is>
          <t>Смартфон Zefir S5 256 ГБ</t>
        </is>
      </c>
      <c r="C28" s="14" t="inlineStr">
        <is>
          <t>Смартфоны</t>
        </is>
      </c>
      <c r="D28" s="15" t="n">
        <v>19990</v>
      </c>
      <c r="E28" s="17" t="n"/>
      <c r="F28" s="17" t="n"/>
      <c r="G28" s="24" t="inlineStr">
        <is>
          <t>в наличии</t>
        </is>
      </c>
      <c r="H28" s="25" t="inlineStr"/>
      <c r="I28" s="20" t="inlineStr">
        <is>
          <t>/product/ph-2002/</t>
        </is>
      </c>
    </row>
    <row r="29">
      <c r="A29" s="26" t="inlineStr">
        <is>
          <t>PH-2003</t>
        </is>
      </c>
      <c r="B29" s="26" t="inlineStr">
        <is>
          <t>Смартфон Zefir S5 Pro 256 ГБ</t>
        </is>
      </c>
      <c r="C29" s="26" t="inlineStr">
        <is>
          <t>Смартфоны</t>
        </is>
      </c>
      <c r="D29" s="27" t="n">
        <v>32990</v>
      </c>
      <c r="E29" s="28" t="n"/>
      <c r="F29" s="28" t="n"/>
      <c r="G29" s="29" t="inlineStr">
        <is>
          <t>в наличии</t>
        </is>
      </c>
      <c r="H29" s="30" t="inlineStr"/>
      <c r="I29" s="31" t="inlineStr">
        <is>
          <t>/product/ph-2003/</t>
        </is>
      </c>
    </row>
    <row r="30">
      <c r="A30" s="14" t="inlineStr">
        <is>
          <t>PH-2004</t>
        </is>
      </c>
      <c r="B30" s="14" t="inlineStr">
        <is>
          <t>Смартфон Zefir S5 Ultra 512 ГБ</t>
        </is>
      </c>
      <c r="C30" s="14" t="inlineStr">
        <is>
          <t>Смартфоны</t>
        </is>
      </c>
      <c r="D30" s="15" t="n">
        <v>59990</v>
      </c>
      <c r="E30" s="17" t="n"/>
      <c r="F30" s="17" t="n"/>
      <c r="G30" s="36" t="inlineStr">
        <is>
          <t>нет</t>
        </is>
      </c>
      <c r="H30" s="25" t="inlineStr"/>
      <c r="I30" s="20" t="inlineStr">
        <is>
          <t>/product/ph-2004/</t>
        </is>
      </c>
    </row>
    <row r="31">
      <c r="A31" s="26" t="inlineStr">
        <is>
          <t>PH-2005</t>
        </is>
      </c>
      <c r="B31" s="26" t="inlineStr">
        <is>
          <t>Смартфон Aster Nova 8 128 ГБ</t>
        </is>
      </c>
      <c r="C31" s="26" t="inlineStr">
        <is>
          <t>Смартфоны</t>
        </is>
      </c>
      <c r="D31" s="27" t="n">
        <v>27990</v>
      </c>
      <c r="E31" s="28" t="n"/>
      <c r="F31" s="28" t="n"/>
      <c r="G31" s="29" t="inlineStr">
        <is>
          <t>в наличии</t>
        </is>
      </c>
      <c r="H31" s="30" t="inlineStr"/>
      <c r="I31" s="31" t="inlineStr">
        <is>
          <t>/product/ph-2005/</t>
        </is>
      </c>
    </row>
    <row r="32">
      <c r="A32" s="14" t="inlineStr">
        <is>
          <t>PH-2006</t>
        </is>
      </c>
      <c r="B32" s="14" t="inlineStr">
        <is>
          <t>Смартфон Aster Nova 8 Pro 256 ГБ</t>
        </is>
      </c>
      <c r="C32" s="14" t="inlineStr">
        <is>
          <t>Смартфоны</t>
        </is>
      </c>
      <c r="D32" s="15" t="n">
        <v>38990</v>
      </c>
      <c r="E32" s="17" t="n"/>
      <c r="F32" s="17" t="n"/>
      <c r="G32" s="24" t="inlineStr">
        <is>
          <t>в наличии</t>
        </is>
      </c>
      <c r="H32" s="25" t="inlineStr"/>
      <c r="I32" s="20" t="inlineStr">
        <is>
          <t>/product/ph-2006/</t>
        </is>
      </c>
    </row>
    <row r="33">
      <c r="A33" s="26" t="inlineStr">
        <is>
          <t>PH-2007</t>
        </is>
      </c>
      <c r="B33" s="26" t="inlineStr">
        <is>
          <t>Смартфон Lumen X 256 ГБ</t>
        </is>
      </c>
      <c r="C33" s="26" t="inlineStr">
        <is>
          <t>Смартфоны</t>
        </is>
      </c>
      <c r="D33" s="37" t="inlineStr">
        <is>
          <t>—</t>
        </is>
      </c>
      <c r="E33" s="28" t="n"/>
      <c r="F33" s="28" t="n"/>
      <c r="G33" s="38" t="inlineStr">
        <is>
          <t>нет</t>
        </is>
      </c>
      <c r="H33" s="30" t="inlineStr">
        <is>
          <t>цена не найдена</t>
        </is>
      </c>
      <c r="I33" s="31" t="inlineStr">
        <is>
          <t>/product/ph-2007/</t>
        </is>
      </c>
    </row>
    <row r="34">
      <c r="A34" s="14" t="inlineStr">
        <is>
          <t>PH-2008</t>
        </is>
      </c>
      <c r="B34" s="14" t="inlineStr">
        <is>
          <t>Смартфон Lumen X Max 512 ГБ</t>
        </is>
      </c>
      <c r="C34" s="14" t="inlineStr">
        <is>
          <t>Смартфоны</t>
        </is>
      </c>
      <c r="D34" s="15" t="n">
        <v>64990</v>
      </c>
      <c r="E34" s="17" t="n"/>
      <c r="F34" s="17" t="n"/>
      <c r="G34" s="24" t="inlineStr">
        <is>
          <t>в наличии</t>
        </is>
      </c>
      <c r="H34" s="25" t="inlineStr"/>
      <c r="I34" s="20" t="inlineStr">
        <is>
          <t>/product/ph-2008/</t>
        </is>
      </c>
    </row>
    <row r="35">
      <c r="A35" s="26" t="inlineStr">
        <is>
          <t>PH-2009</t>
        </is>
      </c>
      <c r="B35" s="26" t="inlineStr">
        <is>
          <t>Смартфон Nordik Fold 512 ГБ</t>
        </is>
      </c>
      <c r="C35" s="26" t="inlineStr">
        <is>
          <t>Смартфоны</t>
        </is>
      </c>
      <c r="D35" s="27" t="n">
        <v>94990</v>
      </c>
      <c r="E35" s="28" t="n"/>
      <c r="F35" s="28" t="n"/>
      <c r="G35" s="29" t="inlineStr">
        <is>
          <t>в наличии</t>
        </is>
      </c>
      <c r="H35" s="30" t="inlineStr"/>
      <c r="I35" s="31" t="inlineStr">
        <is>
          <t>/product/ph-2009/</t>
        </is>
      </c>
    </row>
    <row r="36">
      <c r="A36" s="14" t="inlineStr">
        <is>
          <t>PH-2010</t>
        </is>
      </c>
      <c r="B36" s="14" t="inlineStr">
        <is>
          <t>Смартфон Vektor A2 64 ГБ</t>
        </is>
      </c>
      <c r="C36" s="14" t="inlineStr">
        <is>
          <t>Смартфоны</t>
        </is>
      </c>
      <c r="D36" s="15" t="n">
        <v>8490</v>
      </c>
      <c r="E36" s="32" t="n">
        <v>9990</v>
      </c>
      <c r="F36" s="33" t="n">
        <v>-0.1501501501501501</v>
      </c>
      <c r="G36" s="24" t="inlineStr">
        <is>
          <t>в наличии</t>
        </is>
      </c>
      <c r="H36" s="25" t="inlineStr"/>
      <c r="I36" s="20" t="inlineStr">
        <is>
          <t>/product/ph-2010/</t>
        </is>
      </c>
    </row>
    <row r="37">
      <c r="A37" s="26" t="inlineStr">
        <is>
          <t>PH-2011</t>
        </is>
      </c>
      <c r="B37" s="26" t="inlineStr">
        <is>
          <t>Смартфон Vektor A2 128 ГБ</t>
        </is>
      </c>
      <c r="C37" s="26" t="inlineStr">
        <is>
          <t>Смартфоны</t>
        </is>
      </c>
      <c r="D37" s="27" t="n">
        <v>12490</v>
      </c>
      <c r="E37" s="28" t="n"/>
      <c r="F37" s="28" t="n"/>
      <c r="G37" s="29" t="inlineStr">
        <is>
          <t>в наличии</t>
        </is>
      </c>
      <c r="H37" s="30" t="inlineStr"/>
      <c r="I37" s="31" t="inlineStr">
        <is>
          <t>/product/ph-2011/</t>
        </is>
      </c>
    </row>
    <row r="38">
      <c r="A38" s="14" t="inlineStr">
        <is>
          <t>PH-2013</t>
        </is>
      </c>
      <c r="B38" s="14" t="inlineStr">
        <is>
          <t>Смартфон Zefir S6 256 ГБ</t>
        </is>
      </c>
      <c r="C38" s="14" t="inlineStr">
        <is>
          <t>Смартфоны</t>
        </is>
      </c>
      <c r="D38" s="15" t="n">
        <v>29990</v>
      </c>
      <c r="E38" s="17" t="n"/>
      <c r="F38" s="17" t="n"/>
      <c r="G38" s="24" t="inlineStr">
        <is>
          <t>в наличии</t>
        </is>
      </c>
      <c r="H38" s="25" t="inlineStr"/>
      <c r="I38" s="20" t="inlineStr">
        <is>
          <t>/product/ph-2013/</t>
        </is>
      </c>
    </row>
  </sheetData>
  <autoFilter ref="A1:I3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2026-10-24T00:47:02Z</dcterms:created>
  <dcterms:modified xmlns:dcterms="http://purl.org/dc/terms/" xmlns:xsi="http://www.w3.org/2001/XMLSchema-instance" xsi:type="dcterms:W3CDTF">2026-10-24T00:47:02Z</dcterms:modified>
</cp:coreProperties>
</file>